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e8c7ac15f9da314/Documentos/Estudios/MUCEIM/Heuristic Algorithms in Transport and Finance/Exercises/unit-01/"/>
    </mc:Choice>
  </mc:AlternateContent>
  <xr:revisionPtr revIDLastSave="13" documentId="11_84BDFE5EC773426D9FC43E9D548F16E8B1DA3140" xr6:coauthVersionLast="47" xr6:coauthVersionMax="47" xr10:uidLastSave="{8A212433-2C25-47BB-9DD7-492468ADA0CA}"/>
  <bookViews>
    <workbookView xWindow="-120" yWindow="-120" windowWidth="29040" windowHeight="15720" xr2:uid="{00000000-000D-0000-FFFF-FFFF00000000}"/>
  </bookViews>
  <sheets>
    <sheet name="Hoja 1" sheetId="1" r:id="rId1"/>
    <sheet name="__OpenSolverCache__" sheetId="2" state="hidden" r:id="rId2"/>
    <sheet name="__OpenSolver__" sheetId="3" state="hidden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3" l="1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" i="3"/>
  <c r="D18" i="1"/>
  <c r="D17" i="1"/>
  <c r="D16" i="1"/>
  <c r="D15" i="1"/>
  <c r="D14" i="1"/>
  <c r="D13" i="1"/>
  <c r="D12" i="1"/>
</calcChain>
</file>

<file path=xl/sharedStrings.xml><?xml version="1.0" encoding="utf-8"?>
<sst xmlns="http://schemas.openxmlformats.org/spreadsheetml/2006/main" count="30" uniqueCount="25">
  <si>
    <t>Data</t>
  </si>
  <si>
    <t>Food</t>
  </si>
  <si>
    <t>Cost</t>
  </si>
  <si>
    <t>Quantity</t>
  </si>
  <si>
    <t>Energy</t>
  </si>
  <si>
    <t>Proteins</t>
  </si>
  <si>
    <t>Fats</t>
  </si>
  <si>
    <t>Carbs</t>
  </si>
  <si>
    <t>Fiber</t>
  </si>
  <si>
    <t>Non-negativity</t>
  </si>
  <si>
    <t>Rice</t>
  </si>
  <si>
    <t>Chicken</t>
  </si>
  <si>
    <t>Lentils</t>
  </si>
  <si>
    <t>Apple</t>
  </si>
  <si>
    <t>Yogurt</t>
  </si>
  <si>
    <t>Requierements</t>
  </si>
  <si>
    <t>Nutrient</t>
  </si>
  <si>
    <t>Minimum</t>
  </si>
  <si>
    <t>Maximum</t>
  </si>
  <si>
    <t>Total weight</t>
  </si>
  <si>
    <t>Total cost</t>
  </si>
  <si>
    <t>https://docs.google.com/spreadsheets/d/1YZGSVhI0Lya_dH4fK-uw5LffSBablZugN8w6Jfuecxw/edit?usp=sharing</t>
  </si>
  <si>
    <t>Original Google Sheets with OpenSolver</t>
  </si>
  <si>
    <t>&lt;- Objective function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</si>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</sst>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00B050"/>
        <bgColor rgb="FFB6D7A8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2" borderId="5" xfId="0" applyFont="1" applyFill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2" borderId="8" xfId="0" applyFont="1" applyFill="1" applyBorder="1"/>
    <xf numFmtId="0" fontId="2" fillId="0" borderId="9" xfId="0" applyFont="1" applyBorder="1"/>
    <xf numFmtId="0" fontId="2" fillId="2" borderId="6" xfId="0" applyFont="1" applyFill="1" applyBorder="1"/>
    <xf numFmtId="0" fontId="3" fillId="0" borderId="0" xfId="1"/>
    <xf numFmtId="0" fontId="2" fillId="3" borderId="9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180194</xdr:rowOff>
    </xdr:from>
    <xdr:to>
      <xdr:col>15</xdr:col>
      <xdr:colOff>142875</xdr:colOff>
      <xdr:row>28</xdr:row>
      <xdr:rowOff>152066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A20DE7-BF8A-37B8-46FC-F064A1D90F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841" r="-1"/>
        <a:stretch>
          <a:fillRect/>
        </a:stretch>
      </xdr:blipFill>
      <xdr:spPr>
        <a:xfrm>
          <a:off x="10058400" y="180194"/>
          <a:ext cx="2657475" cy="50391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spreadsheets/d/1YZGSVhI0Lya_dH4fK-uw5LffSBablZugN8w6Jfuecxw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2"/>
  <sheetViews>
    <sheetView tabSelected="1" workbookViewId="0">
      <selection activeCell="C8" sqref="C8"/>
    </sheetView>
  </sheetViews>
  <sheetFormatPr baseColWidth="10" defaultColWidth="12.5703125" defaultRowHeight="15.75" customHeight="1" x14ac:dyDescent="0.2"/>
  <sheetData>
    <row r="1" spans="1:11" ht="15.75" customHeight="1" x14ac:dyDescent="0.25">
      <c r="A1" s="1" t="s">
        <v>0</v>
      </c>
    </row>
    <row r="2" spans="1:11" ht="12.75" x14ac:dyDescent="0.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J2" s="5" t="s">
        <v>9</v>
      </c>
      <c r="K2" s="5">
        <v>0</v>
      </c>
    </row>
    <row r="3" spans="1:11" ht="12.75" x14ac:dyDescent="0.2">
      <c r="A3" s="6" t="s">
        <v>10</v>
      </c>
      <c r="B3" s="7">
        <v>1.2</v>
      </c>
      <c r="C3" s="8">
        <v>0.2983900668174882</v>
      </c>
      <c r="D3" s="7">
        <v>3600</v>
      </c>
      <c r="E3" s="7">
        <v>70</v>
      </c>
      <c r="F3" s="7">
        <v>10</v>
      </c>
      <c r="G3" s="7">
        <v>790</v>
      </c>
      <c r="H3" s="9">
        <v>30</v>
      </c>
    </row>
    <row r="4" spans="1:11" ht="12.75" x14ac:dyDescent="0.2">
      <c r="A4" s="6" t="s">
        <v>11</v>
      </c>
      <c r="B4" s="7">
        <v>5.8</v>
      </c>
      <c r="C4" s="8">
        <v>0</v>
      </c>
      <c r="D4" s="7">
        <v>1650</v>
      </c>
      <c r="E4" s="7">
        <v>310</v>
      </c>
      <c r="F4" s="7">
        <v>35</v>
      </c>
      <c r="G4" s="7">
        <v>0</v>
      </c>
      <c r="H4" s="9">
        <v>0</v>
      </c>
    </row>
    <row r="5" spans="1:11" ht="12.75" x14ac:dyDescent="0.2">
      <c r="A5" s="6" t="s">
        <v>12</v>
      </c>
      <c r="B5" s="7">
        <v>2.1</v>
      </c>
      <c r="C5" s="8">
        <v>0.14589361814068508</v>
      </c>
      <c r="D5" s="7">
        <v>3200</v>
      </c>
      <c r="E5" s="7">
        <v>230</v>
      </c>
      <c r="F5" s="7">
        <v>15</v>
      </c>
      <c r="G5" s="7">
        <v>550</v>
      </c>
      <c r="H5" s="9">
        <v>110</v>
      </c>
    </row>
    <row r="6" spans="1:11" ht="12.75" x14ac:dyDescent="0.2">
      <c r="A6" s="6" t="s">
        <v>13</v>
      </c>
      <c r="B6" s="7">
        <v>1.8</v>
      </c>
      <c r="C6" s="8">
        <v>0</v>
      </c>
      <c r="D6" s="7">
        <v>520</v>
      </c>
      <c r="E6" s="7">
        <v>3</v>
      </c>
      <c r="F6" s="7">
        <v>2</v>
      </c>
      <c r="G6" s="7">
        <v>140</v>
      </c>
      <c r="H6" s="9">
        <v>25</v>
      </c>
    </row>
    <row r="7" spans="1:11" ht="12.75" x14ac:dyDescent="0.2">
      <c r="A7" s="10" t="s">
        <v>14</v>
      </c>
      <c r="B7" s="11">
        <v>3.5</v>
      </c>
      <c r="C7" s="12">
        <v>0.75235439574893448</v>
      </c>
      <c r="D7" s="11">
        <v>610</v>
      </c>
      <c r="E7" s="11">
        <v>37</v>
      </c>
      <c r="F7" s="11">
        <v>33</v>
      </c>
      <c r="G7" s="11">
        <v>47</v>
      </c>
      <c r="H7" s="13">
        <v>0</v>
      </c>
    </row>
    <row r="10" spans="1:11" ht="15.75" customHeight="1" x14ac:dyDescent="0.25">
      <c r="A10" s="1" t="s">
        <v>15</v>
      </c>
    </row>
    <row r="11" spans="1:11" ht="12.75" x14ac:dyDescent="0.2">
      <c r="A11" s="2" t="s">
        <v>16</v>
      </c>
      <c r="B11" s="3" t="s">
        <v>17</v>
      </c>
      <c r="C11" s="3" t="s">
        <v>18</v>
      </c>
      <c r="D11" s="4" t="s">
        <v>24</v>
      </c>
    </row>
    <row r="12" spans="1:11" ht="12.75" x14ac:dyDescent="0.2">
      <c r="A12" s="6" t="s">
        <v>4</v>
      </c>
      <c r="B12" s="7">
        <v>2000</v>
      </c>
      <c r="C12" s="7">
        <v>2500</v>
      </c>
      <c r="D12" s="14">
        <f>SUMPRODUCT(C3:C7,D3:D7)</f>
        <v>1999.9999999999998</v>
      </c>
    </row>
    <row r="13" spans="1:11" ht="12.75" x14ac:dyDescent="0.2">
      <c r="A13" s="6" t="s">
        <v>5</v>
      </c>
      <c r="B13" s="7">
        <v>50</v>
      </c>
      <c r="C13" s="7"/>
      <c r="D13" s="14">
        <f>SUMPRODUCT(C3:C7,E3:E7)</f>
        <v>82.279949492292317</v>
      </c>
    </row>
    <row r="14" spans="1:11" ht="12.75" x14ac:dyDescent="0.2">
      <c r="A14" s="6" t="s">
        <v>6</v>
      </c>
      <c r="B14" s="7">
        <v>30</v>
      </c>
      <c r="C14" s="7">
        <v>70</v>
      </c>
      <c r="D14" s="14">
        <f>SUMPRODUCT(C3:C7,F3:F7)</f>
        <v>29.999999999999996</v>
      </c>
    </row>
    <row r="15" spans="1:11" ht="12.75" x14ac:dyDescent="0.2">
      <c r="A15" s="6" t="s">
        <v>7</v>
      </c>
      <c r="B15" s="7">
        <v>250</v>
      </c>
      <c r="C15" s="7">
        <v>400</v>
      </c>
      <c r="D15" s="14">
        <f>SUMPRODUCT(C3:C7,G3:G7)</f>
        <v>351.33029936339233</v>
      </c>
    </row>
    <row r="16" spans="1:11" ht="12.75" x14ac:dyDescent="0.2">
      <c r="A16" s="6" t="s">
        <v>8</v>
      </c>
      <c r="B16" s="7">
        <v>25</v>
      </c>
      <c r="C16" s="7"/>
      <c r="D16" s="14">
        <f>SUMPRODUCT(C3:C7,H3:H7)</f>
        <v>25.000000000000007</v>
      </c>
    </row>
    <row r="17" spans="1:5" ht="12.75" x14ac:dyDescent="0.2">
      <c r="A17" s="6" t="s">
        <v>19</v>
      </c>
      <c r="B17" s="7"/>
      <c r="C17" s="7">
        <v>1.5</v>
      </c>
      <c r="D17" s="14">
        <f>SUM(C3:C7)</f>
        <v>1.1966380807071078</v>
      </c>
    </row>
    <row r="18" spans="1:5" ht="12.75" x14ac:dyDescent="0.2">
      <c r="A18" s="10" t="s">
        <v>20</v>
      </c>
      <c r="B18" s="11"/>
      <c r="C18" s="11"/>
      <c r="D18" s="16">
        <f>SUMPRODUCT(C3:C7,B3:B7)</f>
        <v>3.2976850633976951</v>
      </c>
      <c r="E18" t="s">
        <v>23</v>
      </c>
    </row>
    <row r="21" spans="1:5" ht="15.75" customHeight="1" x14ac:dyDescent="0.2">
      <c r="B21" t="s">
        <v>22</v>
      </c>
    </row>
    <row r="22" spans="1:5" ht="15.75" customHeight="1" x14ac:dyDescent="0.2">
      <c r="B22" s="15" t="s">
        <v>21</v>
      </c>
    </row>
  </sheetData>
  <hyperlinks>
    <hyperlink ref="B22" r:id="rId1" xr:uid="{FC2710D1-0A8C-454F-90DE-BC57F591505C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 x14ac:dyDescent="0.2"/>
  <sheetData>
    <row r="1" spans="1:1" x14ac:dyDescent="0.2">
      <c r="A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42"/>
  <sheetViews>
    <sheetView workbookViewId="0"/>
  </sheetViews>
  <sheetFormatPr baseColWidth="10" defaultColWidth="12.5703125" defaultRowHeight="15.75" customHeight="1" x14ac:dyDescent="0.2"/>
  <sheetData>
    <row r="1" spans="1:1" x14ac:dyDescent="0.2">
      <c r="A1" s="5" t="e">
        <f>ModelSheet=Hoja '[1]1'!A:Z</f>
        <v>#NAME?</v>
      </c>
    </row>
    <row r="2" spans="1:1" x14ac:dyDescent="0.2">
      <c r="A2" s="5" t="e">
        <f>OpenSolver_AdjNum=1</f>
        <v>#NAME?</v>
      </c>
    </row>
    <row r="3" spans="1:1" x14ac:dyDescent="0.2">
      <c r="A3" s="5" t="e">
        <f>OpenSolver_ChosenSolver=Google</f>
        <v>#NAME?</v>
      </c>
    </row>
    <row r="4" spans="1:1" x14ac:dyDescent="0.2">
      <c r="A4" s="5" t="e">
        <f>OpenSolver_FastBuild=0</f>
        <v>#NAME?</v>
      </c>
    </row>
    <row r="5" spans="1:1" x14ac:dyDescent="0.2">
      <c r="A5" s="5" t="e">
        <f>OpenSolver_LinearityCheck=1</f>
        <v>#NAME?</v>
      </c>
    </row>
    <row r="6" spans="1:1" x14ac:dyDescent="0.2">
      <c r="A6" s="5" t="e">
        <f>solver_adj=Hoja '[1]1'!C3:C7</f>
        <v>#NAME?</v>
      </c>
    </row>
    <row r="7" spans="1:1" x14ac:dyDescent="0.2">
      <c r="A7" s="5" t="e">
        <f>solver_lhs1=Hoja '[1]1'!D12</f>
        <v>#NAME?</v>
      </c>
    </row>
    <row r="8" spans="1:1" x14ac:dyDescent="0.2">
      <c r="A8" s="5" t="e">
        <f>solver_lhs10=Hoja '[1]1'!C3:C7</f>
        <v>#NAME?</v>
      </c>
    </row>
    <row r="9" spans="1:1" x14ac:dyDescent="0.2">
      <c r="A9" s="5" t="e">
        <f>solver_lhs2=Hoja '[1]1'!D12</f>
        <v>#NAME?</v>
      </c>
    </row>
    <row r="10" spans="1:1" x14ac:dyDescent="0.2">
      <c r="A10" s="5" t="e">
        <f>solver_lhs3=Hoja '[1]1'!D13</f>
        <v>#NAME?</v>
      </c>
    </row>
    <row r="11" spans="1:1" x14ac:dyDescent="0.2">
      <c r="A11" s="5" t="e">
        <f>solver_lhs4=Hoja '[1]1'!D14</f>
        <v>#NAME?</v>
      </c>
    </row>
    <row r="12" spans="1:1" x14ac:dyDescent="0.2">
      <c r="A12" s="5" t="e">
        <f>solver_lhs5=Hoja '[1]1'!D14</f>
        <v>#NAME?</v>
      </c>
    </row>
    <row r="13" spans="1:1" x14ac:dyDescent="0.2">
      <c r="A13" s="5" t="e">
        <f>solver_lhs6=Hoja '[1]1'!D15</f>
        <v>#NAME?</v>
      </c>
    </row>
    <row r="14" spans="1:1" x14ac:dyDescent="0.2">
      <c r="A14" s="5" t="e">
        <f>solver_lhs7=Hoja '[1]1'!D15</f>
        <v>#NAME?</v>
      </c>
    </row>
    <row r="15" spans="1:1" x14ac:dyDescent="0.2">
      <c r="A15" s="5" t="e">
        <f>solver_lhs8=Hoja '[1]1'!D16</f>
        <v>#NAME?</v>
      </c>
    </row>
    <row r="16" spans="1:1" x14ac:dyDescent="0.2">
      <c r="A16" s="5" t="e">
        <f>solver_lhs9=Hoja '[1]1'!D17</f>
        <v>#NAME?</v>
      </c>
    </row>
    <row r="17" spans="1:1" x14ac:dyDescent="0.2">
      <c r="A17" s="5" t="e">
        <f>solver_neg=1</f>
        <v>#NAME?</v>
      </c>
    </row>
    <row r="18" spans="1:1" x14ac:dyDescent="0.2">
      <c r="A18" s="5" t="e">
        <f>solver_num=10</f>
        <v>#NAME?</v>
      </c>
    </row>
    <row r="19" spans="1:1" x14ac:dyDescent="0.2">
      <c r="A19" s="5" t="e">
        <f>solver_opt=Hoja '[1]1'!D18</f>
        <v>#NAME?</v>
      </c>
    </row>
    <row r="20" spans="1:1" x14ac:dyDescent="0.2">
      <c r="A20" s="5" t="e">
        <f>solver_rel1=3</f>
        <v>#NAME?</v>
      </c>
    </row>
    <row r="21" spans="1:1" x14ac:dyDescent="0.2">
      <c r="A21" s="5" t="e">
        <f>solver_rel10=3</f>
        <v>#NAME?</v>
      </c>
    </row>
    <row r="22" spans="1:1" x14ac:dyDescent="0.2">
      <c r="A22" s="5" t="e">
        <f>solver_rel2=1</f>
        <v>#NAME?</v>
      </c>
    </row>
    <row r="23" spans="1:1" x14ac:dyDescent="0.2">
      <c r="A23" s="5" t="e">
        <f>solver_rel3=3</f>
        <v>#NAME?</v>
      </c>
    </row>
    <row r="24" spans="1:1" x14ac:dyDescent="0.2">
      <c r="A24" s="5" t="e">
        <f>solver_rel4=3</f>
        <v>#NAME?</v>
      </c>
    </row>
    <row r="25" spans="1:1" x14ac:dyDescent="0.2">
      <c r="A25" s="5" t="e">
        <f>solver_rel5=1</f>
        <v>#NAME?</v>
      </c>
    </row>
    <row r="26" spans="1:1" x14ac:dyDescent="0.2">
      <c r="A26" s="5" t="e">
        <f>solver_rel6=3</f>
        <v>#NAME?</v>
      </c>
    </row>
    <row r="27" spans="1:1" x14ac:dyDescent="0.2">
      <c r="A27" s="5" t="e">
        <f>solver_rel7=1</f>
        <v>#NAME?</v>
      </c>
    </row>
    <row r="28" spans="1:1" x14ac:dyDescent="0.2">
      <c r="A28" s="5" t="e">
        <f>solver_rel8=3</f>
        <v>#NAME?</v>
      </c>
    </row>
    <row r="29" spans="1:1" x14ac:dyDescent="0.2">
      <c r="A29" s="5" t="e">
        <f>solver_rel9=1</f>
        <v>#NAME?</v>
      </c>
    </row>
    <row r="30" spans="1:1" x14ac:dyDescent="0.2">
      <c r="A30" s="5" t="e">
        <f>solver_rhs1=Hoja '[1]1'!B12</f>
        <v>#NAME?</v>
      </c>
    </row>
    <row r="31" spans="1:1" x14ac:dyDescent="0.2">
      <c r="A31" s="5" t="e">
        <f>solver_rhs10=Hoja '[1]1'!K2</f>
        <v>#NAME?</v>
      </c>
    </row>
    <row r="32" spans="1:1" x14ac:dyDescent="0.2">
      <c r="A32" s="5" t="e">
        <f>solver_rhs2=Hoja '[1]1'!C12</f>
        <v>#NAME?</v>
      </c>
    </row>
    <row r="33" spans="1:1" x14ac:dyDescent="0.2">
      <c r="A33" s="5" t="e">
        <f>solver_rhs3=Hoja '[1]1'!B13</f>
        <v>#NAME?</v>
      </c>
    </row>
    <row r="34" spans="1:1" x14ac:dyDescent="0.2">
      <c r="A34" s="5" t="e">
        <f>solver_rhs4=Hoja '[1]1'!B14</f>
        <v>#NAME?</v>
      </c>
    </row>
    <row r="35" spans="1:1" x14ac:dyDescent="0.2">
      <c r="A35" s="5" t="e">
        <f>solver_rhs5=Hoja '[1]1'!C14</f>
        <v>#NAME?</v>
      </c>
    </row>
    <row r="36" spans="1:1" x14ac:dyDescent="0.2">
      <c r="A36" s="5" t="e">
        <f>solver_rhs6=Hoja '[1]1'!B15</f>
        <v>#NAME?</v>
      </c>
    </row>
    <row r="37" spans="1:1" x14ac:dyDescent="0.2">
      <c r="A37" s="5" t="e">
        <f>solver_rhs7=Hoja '[1]1'!C15</f>
        <v>#NAME?</v>
      </c>
    </row>
    <row r="38" spans="1:1" x14ac:dyDescent="0.2">
      <c r="A38" s="5" t="e">
        <f>solver_rhs8=Hoja '[1]1'!B16</f>
        <v>#NAME?</v>
      </c>
    </row>
    <row r="39" spans="1:1" x14ac:dyDescent="0.2">
      <c r="A39" s="5" t="e">
        <f>solver_rhs9=Hoja '[1]1'!C17</f>
        <v>#NAME?</v>
      </c>
    </row>
    <row r="40" spans="1:1" x14ac:dyDescent="0.2">
      <c r="A40" s="5" t="e">
        <f>solver_sho=1</f>
        <v>#NAME?</v>
      </c>
    </row>
    <row r="41" spans="1:1" x14ac:dyDescent="0.2">
      <c r="A41" s="5" t="e">
        <f>solver_typ=2</f>
        <v>#NAME?</v>
      </c>
    </row>
    <row r="42" spans="1:1" x14ac:dyDescent="0.2">
      <c r="A42" s="5" t="e">
        <f>solver_val=0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__OpenSolverCache__</vt:lpstr>
      <vt:lpstr>__OpenSolver__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 Fernández Navarro</cp:lastModifiedBy>
  <dcterms:modified xsi:type="dcterms:W3CDTF">2025-10-09T17:17:55Z</dcterms:modified>
</cp:coreProperties>
</file>