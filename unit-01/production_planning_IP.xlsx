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e8c7ac15f9da314/Documentos/Estudios/MUCEIM/Heuristic Algorithms in Transport and Finance/Exercises/unit-01/"/>
    </mc:Choice>
  </mc:AlternateContent>
  <xr:revisionPtr revIDLastSave="15" documentId="11_AAEFE59AA74CC6AC92CEDB556FAD1DF9015FF665" xr6:coauthVersionLast="47" xr6:coauthVersionMax="47" xr10:uidLastSave="{E3042575-F2C1-45A1-B3CF-BB730E5AB7B4}"/>
  <bookViews>
    <workbookView xWindow="-120" yWindow="-120" windowWidth="29040" windowHeight="15720" xr2:uid="{00000000-000D-0000-FFFF-FFFF00000000}"/>
  </bookViews>
  <sheets>
    <sheet name="Hoja 1" sheetId="1" r:id="rId1"/>
    <sheet name="__OpenSolverCache__" sheetId="2" state="hidden" r:id="rId2"/>
    <sheet name="__OpenSolver__" sheetId="3" state="hidden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3" l="1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1" i="3"/>
  <c r="B22" i="1"/>
  <c r="B21" i="1"/>
  <c r="B20" i="1"/>
  <c r="B23" i="1" s="1"/>
  <c r="D16" i="1"/>
  <c r="D15" i="1"/>
  <c r="O3" i="1"/>
  <c r="N3" i="1"/>
  <c r="M3" i="1"/>
  <c r="L3" i="1"/>
  <c r="K3" i="1"/>
</calcChain>
</file>

<file path=xl/sharedStrings.xml><?xml version="1.0" encoding="utf-8"?>
<sst xmlns="http://schemas.openxmlformats.org/spreadsheetml/2006/main" count="34" uniqueCount="31">
  <si>
    <t>Data</t>
  </si>
  <si>
    <t>Product</t>
  </si>
  <si>
    <t>Shirts</t>
  </si>
  <si>
    <t>Shorts</t>
  </si>
  <si>
    <t>Pants</t>
  </si>
  <si>
    <t>Skirts</t>
  </si>
  <si>
    <t>Jackets</t>
  </si>
  <si>
    <t>Non-negativity</t>
  </si>
  <si>
    <t>Rent Equipment?</t>
  </si>
  <si>
    <t>binary</t>
  </si>
  <si>
    <t>Auxiliar</t>
  </si>
  <si>
    <t>Units produced</t>
  </si>
  <si>
    <t>integer</t>
  </si>
  <si>
    <t>Effective Capacity</t>
  </si>
  <si>
    <t>Labor hours/unit</t>
  </si>
  <si>
    <t>Cloth/unit</t>
  </si>
  <si>
    <t>Selling Price</t>
  </si>
  <si>
    <t>Variable Cost</t>
  </si>
  <si>
    <t>Fixed Cost</t>
  </si>
  <si>
    <t>Requierements</t>
  </si>
  <si>
    <t>Minimum</t>
  </si>
  <si>
    <t>Maximum</t>
  </si>
  <si>
    <t>Actual</t>
  </si>
  <si>
    <t>Labour hours</t>
  </si>
  <si>
    <t>--</t>
  </si>
  <si>
    <t>Cloth</t>
  </si>
  <si>
    <t>Economic Results</t>
  </si>
  <si>
    <t>Reveneu</t>
  </si>
  <si>
    <t>Profit</t>
  </si>
  <si>
    <t>&lt;- Objective function</t>
  </si>
  <si>
    <t>https://docs.google.com/spreadsheets/d/1GXHKU9gE_qAAiipD0KkvACWlgMIfLdujVTURwCajzqc/edit?usp=sharing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</si>
</sst>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3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theme="7"/>
        <bgColor theme="7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3" borderId="5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2" fillId="2" borderId="8" xfId="0" applyFont="1" applyFill="1" applyBorder="1"/>
    <xf numFmtId="0" fontId="2" fillId="3" borderId="6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0" fontId="2" fillId="3" borderId="9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6" xfId="0" applyFont="1" applyFill="1" applyBorder="1"/>
    <xf numFmtId="0" fontId="3" fillId="3" borderId="6" xfId="0" applyFont="1" applyFill="1" applyBorder="1"/>
    <xf numFmtId="0" fontId="3" fillId="4" borderId="9" xfId="0" applyFont="1" applyFill="1" applyBorder="1"/>
    <xf numFmtId="0" fontId="3" fillId="0" borderId="0" xfId="0" applyFont="1"/>
    <xf numFmtId="0" fontId="2" fillId="0" borderId="4" xfId="0" applyFont="1" applyFill="1" applyBorder="1"/>
    <xf numFmtId="0" fontId="2" fillId="0" borderId="5" xfId="0" applyFont="1" applyFill="1" applyBorder="1" applyAlignment="1">
      <alignment horizontal="right"/>
    </xf>
    <xf numFmtId="0" fontId="2" fillId="0" borderId="6" xfId="0" applyFont="1" applyFill="1" applyBorder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 applyFill="1"/>
    <xf numFmtId="0" fontId="0" fillId="0" borderId="0" xfId="0" applyFill="1"/>
    <xf numFmtId="0" fontId="2" fillId="0" borderId="5" xfId="0" applyFont="1" applyFill="1" applyBorder="1"/>
    <xf numFmtId="0" fontId="2" fillId="0" borderId="6" xfId="0" applyFont="1" applyFill="1" applyBorder="1"/>
    <xf numFmtId="0" fontId="2" fillId="0" borderId="7" xfId="0" applyFont="1" applyFill="1" applyBorder="1"/>
    <xf numFmtId="0" fontId="2" fillId="0" borderId="8" xfId="0" applyFont="1" applyFill="1" applyBorder="1"/>
    <xf numFmtId="0" fontId="2" fillId="0" borderId="9" xfId="0" applyFont="1" applyFill="1" applyBorder="1"/>
    <xf numFmtId="0" fontId="1" fillId="0" borderId="0" xfId="0" applyFont="1" applyFill="1"/>
    <xf numFmtId="0" fontId="3" fillId="0" borderId="1" xfId="0" applyFont="1" applyFill="1" applyBorder="1"/>
    <xf numFmtId="0" fontId="2" fillId="0" borderId="2" xfId="0" applyFont="1" applyFill="1" applyBorder="1"/>
    <xf numFmtId="0" fontId="2" fillId="0" borderId="3" xfId="0" applyFont="1" applyFill="1" applyBorder="1"/>
    <xf numFmtId="0" fontId="2" fillId="0" borderId="1" xfId="0" applyFont="1" applyFill="1" applyBorder="1"/>
    <xf numFmtId="0" fontId="3" fillId="0" borderId="4" xfId="0" applyFont="1" applyFill="1" applyBorder="1"/>
    <xf numFmtId="0" fontId="3" fillId="0" borderId="7" xfId="0" applyFont="1" applyFill="1" applyBorder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142876</xdr:colOff>
      <xdr:row>0</xdr:row>
      <xdr:rowOff>38099</xdr:rowOff>
    </xdr:from>
    <xdr:to>
      <xdr:col>18</xdr:col>
      <xdr:colOff>211531</xdr:colOff>
      <xdr:row>29</xdr:row>
      <xdr:rowOff>92969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24D2F7-E9D5-7729-4BF7-65C0D340392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701"/>
        <a:stretch>
          <a:fillRect/>
        </a:stretch>
      </xdr:blipFill>
      <xdr:spPr>
        <a:xfrm>
          <a:off x="12982576" y="38099"/>
          <a:ext cx="2583255" cy="58555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31"/>
  <sheetViews>
    <sheetView tabSelected="1" workbookViewId="0">
      <selection activeCell="J17" sqref="J17"/>
    </sheetView>
  </sheetViews>
  <sheetFormatPr baseColWidth="10" defaultColWidth="12.5703125" defaultRowHeight="15.75" customHeight="1" x14ac:dyDescent="0.2"/>
  <cols>
    <col min="1" max="1" width="16.5703125" customWidth="1"/>
  </cols>
  <sheetData>
    <row r="1" spans="1:16" ht="15.75" customHeight="1" x14ac:dyDescent="0.25">
      <c r="A1" s="23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7"/>
      <c r="M1" s="17"/>
      <c r="N1" s="17"/>
      <c r="O1" s="17"/>
      <c r="P1" s="17"/>
    </row>
    <row r="2" spans="1:16" x14ac:dyDescent="0.2">
      <c r="A2" s="27" t="s">
        <v>1</v>
      </c>
      <c r="B2" s="25" t="s">
        <v>2</v>
      </c>
      <c r="C2" s="25" t="s">
        <v>3</v>
      </c>
      <c r="D2" s="25" t="s">
        <v>4</v>
      </c>
      <c r="E2" s="25" t="s">
        <v>5</v>
      </c>
      <c r="F2" s="25" t="s">
        <v>6</v>
      </c>
      <c r="G2" s="26"/>
      <c r="H2" s="16"/>
      <c r="I2" s="16"/>
      <c r="J2" s="16" t="s">
        <v>7</v>
      </c>
      <c r="K2" s="15">
        <v>0</v>
      </c>
      <c r="L2" s="17"/>
      <c r="M2" s="17"/>
      <c r="N2" s="17"/>
      <c r="O2" s="17"/>
      <c r="P2" s="17"/>
    </row>
    <row r="3" spans="1:16" x14ac:dyDescent="0.2">
      <c r="A3" s="12" t="s">
        <v>8</v>
      </c>
      <c r="B3" s="1">
        <v>0</v>
      </c>
      <c r="C3" s="1">
        <v>1</v>
      </c>
      <c r="D3" s="1">
        <v>0</v>
      </c>
      <c r="E3" s="1">
        <v>0</v>
      </c>
      <c r="F3" s="1">
        <v>0</v>
      </c>
      <c r="G3" s="14" t="s">
        <v>9</v>
      </c>
      <c r="H3" s="15"/>
      <c r="I3" s="16"/>
      <c r="J3" s="16" t="s">
        <v>10</v>
      </c>
      <c r="K3" s="16">
        <f t="shared" ref="K3:O3" si="0">B5*B3</f>
        <v>0</v>
      </c>
      <c r="L3" s="16">
        <f t="shared" si="0"/>
        <v>2250</v>
      </c>
      <c r="M3" s="16">
        <f t="shared" si="0"/>
        <v>0</v>
      </c>
      <c r="N3" s="16">
        <f t="shared" si="0"/>
        <v>0</v>
      </c>
      <c r="O3" s="16">
        <f t="shared" si="0"/>
        <v>0</v>
      </c>
      <c r="P3" s="17"/>
    </row>
    <row r="4" spans="1:16" x14ac:dyDescent="0.2">
      <c r="A4" s="12" t="s">
        <v>11</v>
      </c>
      <c r="B4" s="1">
        <v>0</v>
      </c>
      <c r="C4" s="1">
        <v>1800</v>
      </c>
      <c r="D4" s="1">
        <v>0</v>
      </c>
      <c r="E4" s="1">
        <v>0</v>
      </c>
      <c r="F4" s="1">
        <v>0</v>
      </c>
      <c r="G4" s="14" t="s">
        <v>12</v>
      </c>
      <c r="H4" s="15"/>
      <c r="I4" s="16"/>
      <c r="J4" s="16"/>
      <c r="K4" s="16"/>
      <c r="L4" s="17"/>
      <c r="M4" s="17"/>
      <c r="N4" s="17"/>
      <c r="O4" s="17"/>
      <c r="P4" s="17"/>
    </row>
    <row r="5" spans="1:16" x14ac:dyDescent="0.2">
      <c r="A5" s="12" t="s">
        <v>13</v>
      </c>
      <c r="B5" s="13">
        <v>1500</v>
      </c>
      <c r="C5" s="13">
        <v>2250</v>
      </c>
      <c r="D5" s="13">
        <v>667</v>
      </c>
      <c r="E5" s="13">
        <v>1000</v>
      </c>
      <c r="F5" s="13">
        <v>500</v>
      </c>
      <c r="G5" s="14"/>
      <c r="H5" s="15"/>
      <c r="I5" s="16"/>
      <c r="J5" s="16"/>
      <c r="K5" s="16"/>
      <c r="L5" s="17"/>
      <c r="M5" s="17"/>
      <c r="N5" s="17"/>
      <c r="O5" s="17"/>
      <c r="P5" s="17"/>
    </row>
    <row r="6" spans="1:16" x14ac:dyDescent="0.2">
      <c r="A6" s="12" t="s">
        <v>14</v>
      </c>
      <c r="B6" s="13">
        <v>2</v>
      </c>
      <c r="C6" s="13">
        <v>1</v>
      </c>
      <c r="D6" s="13">
        <v>6</v>
      </c>
      <c r="E6" s="13">
        <v>4</v>
      </c>
      <c r="F6" s="13">
        <v>8</v>
      </c>
      <c r="G6" s="14"/>
      <c r="H6" s="15"/>
      <c r="I6" s="16"/>
      <c r="J6" s="16"/>
      <c r="K6" s="16"/>
      <c r="L6" s="17"/>
      <c r="M6" s="17"/>
      <c r="N6" s="17"/>
      <c r="O6" s="17"/>
      <c r="P6" s="17"/>
    </row>
    <row r="7" spans="1:16" x14ac:dyDescent="0.2">
      <c r="A7" s="12" t="s">
        <v>15</v>
      </c>
      <c r="B7" s="13">
        <v>3</v>
      </c>
      <c r="C7" s="13">
        <v>2.5</v>
      </c>
      <c r="D7" s="13">
        <v>4</v>
      </c>
      <c r="E7" s="13">
        <v>4.5</v>
      </c>
      <c r="F7" s="13">
        <v>8</v>
      </c>
      <c r="G7" s="14"/>
      <c r="H7" s="15"/>
      <c r="I7" s="16"/>
      <c r="J7" s="16"/>
      <c r="K7" s="16"/>
      <c r="L7" s="17"/>
      <c r="M7" s="17"/>
      <c r="N7" s="17"/>
      <c r="O7" s="17"/>
      <c r="P7" s="17"/>
    </row>
    <row r="8" spans="1:16" x14ac:dyDescent="0.2">
      <c r="A8" s="12" t="s">
        <v>16</v>
      </c>
      <c r="B8" s="18">
        <v>35</v>
      </c>
      <c r="C8" s="18">
        <v>40</v>
      </c>
      <c r="D8" s="18">
        <v>65</v>
      </c>
      <c r="E8" s="18">
        <v>70</v>
      </c>
      <c r="F8" s="18">
        <v>110</v>
      </c>
      <c r="G8" s="19"/>
      <c r="H8" s="16"/>
      <c r="I8" s="16"/>
      <c r="J8" s="16"/>
      <c r="K8" s="16"/>
      <c r="L8" s="17"/>
      <c r="M8" s="17"/>
      <c r="N8" s="17"/>
      <c r="O8" s="17"/>
      <c r="P8" s="17"/>
    </row>
    <row r="9" spans="1:16" x14ac:dyDescent="0.2">
      <c r="A9" s="12" t="s">
        <v>17</v>
      </c>
      <c r="B9" s="18">
        <v>20</v>
      </c>
      <c r="C9" s="18">
        <v>10</v>
      </c>
      <c r="D9" s="18">
        <v>25</v>
      </c>
      <c r="E9" s="18">
        <v>30</v>
      </c>
      <c r="F9" s="18">
        <v>35</v>
      </c>
      <c r="G9" s="19"/>
      <c r="H9" s="16"/>
      <c r="I9" s="16"/>
      <c r="J9" s="16"/>
      <c r="K9" s="16"/>
      <c r="L9" s="17"/>
      <c r="M9" s="17"/>
      <c r="N9" s="17"/>
      <c r="O9" s="17"/>
      <c r="P9" s="17"/>
    </row>
    <row r="10" spans="1:16" x14ac:dyDescent="0.2">
      <c r="A10" s="20" t="s">
        <v>18</v>
      </c>
      <c r="B10" s="21">
        <v>1500</v>
      </c>
      <c r="C10" s="21">
        <v>1200</v>
      </c>
      <c r="D10" s="21">
        <v>1600</v>
      </c>
      <c r="E10" s="21">
        <v>1500</v>
      </c>
      <c r="F10" s="21">
        <v>1600</v>
      </c>
      <c r="G10" s="22"/>
      <c r="H10" s="16"/>
      <c r="I10" s="16"/>
      <c r="J10" s="16"/>
      <c r="K10" s="16"/>
      <c r="L10" s="17"/>
      <c r="M10" s="17"/>
      <c r="N10" s="17"/>
      <c r="O10" s="17"/>
      <c r="P10" s="17"/>
    </row>
    <row r="11" spans="1:16" x14ac:dyDescent="0.2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7"/>
      <c r="M11" s="17"/>
      <c r="N11" s="17"/>
      <c r="O11" s="17"/>
      <c r="P11" s="17"/>
    </row>
    <row r="12" spans="1:16" x14ac:dyDescent="0.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/>
      <c r="M12" s="17"/>
      <c r="N12" s="17"/>
      <c r="O12" s="17"/>
      <c r="P12" s="17"/>
    </row>
    <row r="13" spans="1:16" ht="15.75" customHeight="1" x14ac:dyDescent="0.25">
      <c r="A13" s="23" t="s">
        <v>19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7"/>
      <c r="M13" s="17"/>
      <c r="N13" s="17"/>
      <c r="O13" s="17"/>
      <c r="P13" s="17"/>
    </row>
    <row r="14" spans="1:16" x14ac:dyDescent="0.2">
      <c r="A14" s="24"/>
      <c r="B14" s="25" t="s">
        <v>20</v>
      </c>
      <c r="C14" s="25" t="s">
        <v>21</v>
      </c>
      <c r="D14" s="26" t="s">
        <v>22</v>
      </c>
      <c r="E14" s="16"/>
      <c r="F14" s="16"/>
      <c r="G14" s="16"/>
      <c r="H14" s="16"/>
      <c r="I14" s="16"/>
      <c r="J14" s="16"/>
      <c r="K14" s="16"/>
      <c r="L14" s="17"/>
      <c r="M14" s="17"/>
      <c r="N14" s="17"/>
      <c r="O14" s="17"/>
      <c r="P14" s="17"/>
    </row>
    <row r="15" spans="1:16" x14ac:dyDescent="0.2">
      <c r="A15" s="12" t="s">
        <v>23</v>
      </c>
      <c r="B15" s="2" t="s">
        <v>24</v>
      </c>
      <c r="C15" s="2">
        <v>4000</v>
      </c>
      <c r="D15" s="4">
        <f>SUMPRODUCT(B4:F4,B6:F6)</f>
        <v>1800</v>
      </c>
      <c r="E15" s="16"/>
      <c r="F15" s="16"/>
      <c r="G15" s="16"/>
      <c r="H15" s="16"/>
      <c r="I15" s="16"/>
      <c r="J15" s="16"/>
      <c r="K15" s="16"/>
      <c r="L15" s="17"/>
    </row>
    <row r="16" spans="1:16" x14ac:dyDescent="0.2">
      <c r="A16" s="20" t="s">
        <v>25</v>
      </c>
      <c r="B16" s="5" t="s">
        <v>24</v>
      </c>
      <c r="C16" s="3">
        <v>4500</v>
      </c>
      <c r="D16" s="6">
        <f>SUMPRODUCT(B4:F4,B7:F7)</f>
        <v>4500</v>
      </c>
      <c r="E16" s="16"/>
      <c r="F16" s="16"/>
      <c r="G16" s="16"/>
      <c r="H16" s="16"/>
      <c r="I16" s="16"/>
      <c r="J16" s="16" t="s">
        <v>30</v>
      </c>
      <c r="K16" s="16"/>
      <c r="L16" s="17"/>
    </row>
    <row r="17" spans="1:12" x14ac:dyDescent="0.2">
      <c r="A17" s="16"/>
      <c r="B17" s="15"/>
      <c r="C17" s="15"/>
      <c r="D17" s="15"/>
      <c r="E17" s="16"/>
      <c r="F17" s="16"/>
      <c r="G17" s="16"/>
      <c r="H17" s="16"/>
      <c r="I17" s="16"/>
      <c r="J17" s="16"/>
      <c r="K17" s="16"/>
      <c r="L17" s="17"/>
    </row>
    <row r="18" spans="1:12" x14ac:dyDescent="0.2">
      <c r="A18" s="16"/>
      <c r="B18" s="15"/>
      <c r="C18" s="15"/>
      <c r="D18" s="15"/>
      <c r="E18" s="16"/>
      <c r="F18" s="16"/>
      <c r="G18" s="16"/>
      <c r="H18" s="16"/>
      <c r="I18" s="16"/>
      <c r="J18" s="16"/>
      <c r="K18" s="16"/>
      <c r="L18" s="17"/>
    </row>
    <row r="19" spans="1:12" ht="15.75" customHeight="1" x14ac:dyDescent="0.25">
      <c r="A19" s="23" t="s">
        <v>26</v>
      </c>
      <c r="B19" s="15"/>
      <c r="C19" s="16"/>
      <c r="D19" s="15"/>
      <c r="E19" s="16"/>
      <c r="F19" s="16"/>
      <c r="G19" s="16"/>
      <c r="H19" s="16"/>
      <c r="I19" s="16"/>
      <c r="J19" s="16"/>
      <c r="K19" s="16"/>
      <c r="L19" s="17"/>
    </row>
    <row r="20" spans="1:12" x14ac:dyDescent="0.2">
      <c r="A20" s="27" t="s">
        <v>27</v>
      </c>
      <c r="B20" s="7">
        <f>SUMPRODUCT(B4:F4,B8:F8)</f>
        <v>72000</v>
      </c>
      <c r="C20" s="15"/>
      <c r="D20" s="15"/>
      <c r="E20" s="16"/>
      <c r="F20" s="16"/>
      <c r="G20" s="16"/>
      <c r="H20" s="16"/>
      <c r="I20" s="16"/>
      <c r="J20" s="16"/>
      <c r="K20" s="16"/>
      <c r="L20" s="17"/>
    </row>
    <row r="21" spans="1:12" x14ac:dyDescent="0.2">
      <c r="A21" s="12" t="s">
        <v>17</v>
      </c>
      <c r="B21" s="8">
        <f>SUMPRODUCT(B4:F4,B9:F9)</f>
        <v>18000</v>
      </c>
      <c r="C21" s="16"/>
      <c r="D21" s="15"/>
      <c r="E21" s="16"/>
      <c r="F21" s="16"/>
      <c r="G21" s="16"/>
      <c r="H21" s="16"/>
      <c r="I21" s="16"/>
      <c r="J21" s="16"/>
      <c r="K21" s="16"/>
      <c r="L21" s="17"/>
    </row>
    <row r="22" spans="1:12" x14ac:dyDescent="0.2">
      <c r="A22" s="28" t="s">
        <v>18</v>
      </c>
      <c r="B22" s="9">
        <f>SUMPRODUCT(B3:F3,B10:F10)</f>
        <v>1200</v>
      </c>
      <c r="C22" s="30"/>
      <c r="D22" s="30"/>
      <c r="E22" s="30"/>
      <c r="F22" s="30"/>
      <c r="G22" s="30"/>
      <c r="H22" s="30"/>
      <c r="I22" s="30"/>
      <c r="J22" s="30"/>
      <c r="K22" s="30"/>
      <c r="L22" s="17"/>
    </row>
    <row r="23" spans="1:12" x14ac:dyDescent="0.2">
      <c r="A23" s="29" t="s">
        <v>28</v>
      </c>
      <c r="B23" s="10">
        <f>B20-(B21+B22)</f>
        <v>52800</v>
      </c>
      <c r="C23" s="30" t="s">
        <v>29</v>
      </c>
      <c r="D23" s="30"/>
      <c r="E23" s="30"/>
      <c r="F23" s="30"/>
      <c r="G23" s="30"/>
      <c r="H23" s="30"/>
      <c r="I23" s="30"/>
      <c r="J23" s="30"/>
      <c r="K23" s="30"/>
      <c r="L23" s="17"/>
    </row>
    <row r="24" spans="1:12" x14ac:dyDescent="0.2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17"/>
    </row>
    <row r="25" spans="1:12" x14ac:dyDescent="0.2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17"/>
    </row>
    <row r="26" spans="1:12" x14ac:dyDescent="0.2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17"/>
    </row>
    <row r="27" spans="1:12" x14ac:dyDescent="0.2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17"/>
    </row>
    <row r="28" spans="1:12" x14ac:dyDescent="0.2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17"/>
    </row>
    <row r="29" spans="1:12" ht="15.75" customHeight="1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1:12" ht="15.75" customHeight="1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</row>
    <row r="31" spans="1:12" ht="15.75" customHeight="1" x14ac:dyDescent="0.2">
      <c r="A31" s="17"/>
      <c r="B31" s="17"/>
      <c r="C31" s="17"/>
      <c r="D31" s="17"/>
      <c r="E31" s="1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2.5703125" defaultRowHeight="15.75" customHeight="1" x14ac:dyDescent="0.2"/>
  <sheetData>
    <row r="1" spans="1:1" x14ac:dyDescent="0.2">
      <c r="A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31"/>
  <sheetViews>
    <sheetView workbookViewId="0"/>
  </sheetViews>
  <sheetFormatPr baseColWidth="10" defaultColWidth="12.5703125" defaultRowHeight="15.75" customHeight="1" x14ac:dyDescent="0.2"/>
  <sheetData>
    <row r="1" spans="1:1" x14ac:dyDescent="0.2">
      <c r="A1" s="11" t="e">
        <f>ModelSheet=Hoja '[1]1'!A:Z</f>
        <v>#NAME?</v>
      </c>
    </row>
    <row r="2" spans="1:1" x14ac:dyDescent="0.2">
      <c r="A2" s="11" t="e">
        <f>OpenSolver_AdjNum=2</f>
        <v>#NAME?</v>
      </c>
    </row>
    <row r="3" spans="1:1" x14ac:dyDescent="0.2">
      <c r="A3" s="11" t="e">
        <f>OpenSolver_ChosenSolver=Google</f>
        <v>#NAME?</v>
      </c>
    </row>
    <row r="4" spans="1:1" x14ac:dyDescent="0.2">
      <c r="A4" s="11" t="e">
        <f>OpenSolver_FastBuild=0</f>
        <v>#NAME?</v>
      </c>
    </row>
    <row r="5" spans="1:1" x14ac:dyDescent="0.2">
      <c r="A5" s="11" t="e">
        <f>OpenSolver_LinearityCheck=1</f>
        <v>#NAME?</v>
      </c>
    </row>
    <row r="6" spans="1:1" x14ac:dyDescent="0.2">
      <c r="A6" s="11" t="e">
        <f>solver_adj=Hoja '[1]1'!B3:F3</f>
        <v>#NAME?</v>
      </c>
    </row>
    <row r="7" spans="1:1" x14ac:dyDescent="0.2">
      <c r="A7" s="11" t="e">
        <f>solver_adj1=Hoja '[1]1'!B4:F4</f>
        <v>#NAME?</v>
      </c>
    </row>
    <row r="8" spans="1:1" x14ac:dyDescent="0.2">
      <c r="A8" s="11" t="e">
        <f>solver_lhs1=Hoja '[1]1'!B3:F3</f>
        <v>#NAME?</v>
      </c>
    </row>
    <row r="9" spans="1:1" x14ac:dyDescent="0.2">
      <c r="A9" s="11" t="e">
        <f>solver_lhs2=Hoja '[1]1'!B4:F4</f>
        <v>#NAME?</v>
      </c>
    </row>
    <row r="10" spans="1:1" x14ac:dyDescent="0.2">
      <c r="A10" s="11" t="e">
        <f>solver_lhs3=Hoja '[1]1'!D15</f>
        <v>#NAME?</v>
      </c>
    </row>
    <row r="11" spans="1:1" x14ac:dyDescent="0.2">
      <c r="A11" s="11" t="e">
        <f>solver_lhs4=Hoja '[1]1'!D16</f>
        <v>#NAME?</v>
      </c>
    </row>
    <row r="12" spans="1:1" x14ac:dyDescent="0.2">
      <c r="A12" s="11" t="e">
        <f>solver_lhs5=Hoja '[1]1'!B4:F4</f>
        <v>#NAME?</v>
      </c>
    </row>
    <row r="13" spans="1:1" x14ac:dyDescent="0.2">
      <c r="A13" s="11" t="e">
        <f>solver_lhs6=Hoja '[1]1'!B4:F4</f>
        <v>#NAME?</v>
      </c>
    </row>
    <row r="14" spans="1:1" x14ac:dyDescent="0.2">
      <c r="A14" s="11" t="e">
        <f>solver_neg=1</f>
        <v>#NAME?</v>
      </c>
    </row>
    <row r="15" spans="1:1" x14ac:dyDescent="0.2">
      <c r="A15" s="11" t="e">
        <f>solver_num=6</f>
        <v>#NAME?</v>
      </c>
    </row>
    <row r="16" spans="1:1" x14ac:dyDescent="0.2">
      <c r="A16" s="11" t="e">
        <f>solver_opt=Hoja '[1]1'!B23</f>
        <v>#NAME?</v>
      </c>
    </row>
    <row r="17" spans="1:1" x14ac:dyDescent="0.2">
      <c r="A17" s="11" t="e">
        <f>solver_rel1=5</f>
        <v>#NAME?</v>
      </c>
    </row>
    <row r="18" spans="1:1" x14ac:dyDescent="0.2">
      <c r="A18" s="11" t="e">
        <f>solver_rel2=1</f>
        <v>#NAME?</v>
      </c>
    </row>
    <row r="19" spans="1:1" x14ac:dyDescent="0.2">
      <c r="A19" s="11" t="e">
        <f>solver_rel3=1</f>
        <v>#NAME?</v>
      </c>
    </row>
    <row r="20" spans="1:1" x14ac:dyDescent="0.2">
      <c r="A20" s="11" t="e">
        <f>solver_rel4=1</f>
        <v>#NAME?</v>
      </c>
    </row>
    <row r="21" spans="1:1" x14ac:dyDescent="0.2">
      <c r="A21" s="11" t="e">
        <f>solver_rel5=3</f>
        <v>#NAME?</v>
      </c>
    </row>
    <row r="22" spans="1:1" x14ac:dyDescent="0.2">
      <c r="A22" s="11" t="e">
        <f>solver_rel6=1</f>
        <v>#NAME?</v>
      </c>
    </row>
    <row r="23" spans="1:1" x14ac:dyDescent="0.2">
      <c r="A23" s="11" t="e">
        <f>solver_rhs1=binary</f>
        <v>#NAME?</v>
      </c>
    </row>
    <row r="24" spans="1:1" x14ac:dyDescent="0.2">
      <c r="A24" s="11" t="e">
        <f>solver_rhs2=Hoja '[1]1'!B5:F5</f>
        <v>#NAME?</v>
      </c>
    </row>
    <row r="25" spans="1:1" x14ac:dyDescent="0.2">
      <c r="A25" s="11" t="e">
        <f>solver_rhs3=Hoja '[1]1'!C15</f>
        <v>#NAME?</v>
      </c>
    </row>
    <row r="26" spans="1:1" x14ac:dyDescent="0.2">
      <c r="A26" s="11" t="e">
        <f>solver_rhs4=Hoja '[1]1'!C16</f>
        <v>#NAME?</v>
      </c>
    </row>
    <row r="27" spans="1:1" x14ac:dyDescent="0.2">
      <c r="A27" s="11" t="e">
        <f>solver_rhs5=Hoja '[1]1'!K2</f>
        <v>#NAME?</v>
      </c>
    </row>
    <row r="28" spans="1:1" x14ac:dyDescent="0.2">
      <c r="A28" s="11" t="e">
        <f>solver_rhs6=Hoja '[1]1'!K3:O3</f>
        <v>#NAME?</v>
      </c>
    </row>
    <row r="29" spans="1:1" x14ac:dyDescent="0.2">
      <c r="A29" s="11" t="e">
        <f>solver_sho=1</f>
        <v>#NAME?</v>
      </c>
    </row>
    <row r="30" spans="1:1" x14ac:dyDescent="0.2">
      <c r="A30" s="11" t="e">
        <f>solver_typ=1</f>
        <v>#NAME?</v>
      </c>
    </row>
    <row r="31" spans="1:1" x14ac:dyDescent="0.2">
      <c r="A31" s="11" t="e">
        <f>solver_val=0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 1</vt:lpstr>
      <vt:lpstr>__OpenSolverCache__</vt:lpstr>
      <vt:lpstr>__OpenSolver__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 Fernández Navarro</cp:lastModifiedBy>
  <dcterms:modified xsi:type="dcterms:W3CDTF">2025-10-09T19:26:20Z</dcterms:modified>
</cp:coreProperties>
</file>